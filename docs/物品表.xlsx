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基础材料道具" sheetId="1" r:id="rId1"/>
    <sheet name="基因卡池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8" name="ID_4ACEF18032754CC59AB23E57F2E495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63400" y="7886700"/>
          <a:ext cx="2533650" cy="2543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A554E030B6B24D3C8746485D256D096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63400" y="6858000"/>
          <a:ext cx="2781300" cy="2619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1F867D3DC47147C495FE2DEFB01A4C0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63400" y="5829300"/>
          <a:ext cx="3000375" cy="2828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62A476003A1B431D9BFA9C0A9B5ABC1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63400" y="4800600"/>
          <a:ext cx="2876550" cy="2695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A722CA1764EF4057B5B744E9A04B68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63400" y="4286250"/>
          <a:ext cx="2647950" cy="2657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745E82CDAC36477D99166615ED42472B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63400" y="3257550"/>
          <a:ext cx="2676525" cy="2628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3FBFEDD70D804EC4A94D736BB2A67AAD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963400" y="2228850"/>
          <a:ext cx="2600325" cy="2609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817ADAA8E9544709F9D7587945E19B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963400" y="1714500"/>
          <a:ext cx="2733675" cy="2609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64B8E5A1041541F998ACA5776D5882A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963400" y="1200150"/>
          <a:ext cx="2695575" cy="2628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8004AB05F6B642949CAE92174610657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963400" y="685800"/>
          <a:ext cx="2657475" cy="2609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D034C43C0C4B4002AE29D538AF39383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963400" y="171450"/>
          <a:ext cx="2686050" cy="2638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63B5449E56A24EAB8F18EF219539283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963400" y="18034000"/>
          <a:ext cx="1400175" cy="1390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1F1F6C3C3CB44B62B68C8587DF6A554A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963400" y="16833850"/>
          <a:ext cx="1533525" cy="1476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2054BCC9BC794102BC88EF5CCCB9669A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963400" y="14433550"/>
          <a:ext cx="1381125" cy="1362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0E23C146B7874924B95B0B772C47B14C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1963400" y="15633700"/>
          <a:ext cx="1419225" cy="1371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83A3BF8B94354F82AA326E592D4E371D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1963400" y="13747750"/>
          <a:ext cx="1381125" cy="1390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C11C0F681BE04528991828DACDC9105B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963400" y="13233400"/>
          <a:ext cx="1428750" cy="1362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C4D300B536B744109B2A7E8085428F8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963400" y="12204700"/>
          <a:ext cx="1333500" cy="1390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4CF6C29F515444BE9F64D5F7C983F98F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963400" y="13196570"/>
          <a:ext cx="1333500" cy="1485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CA9BD7B11BA64959AF500B5BCA5CBCEA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1963400" y="11690350"/>
          <a:ext cx="1457325" cy="1485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7BA13A469D3D4C389E0009E99D31BA8F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963400" y="11176000"/>
          <a:ext cx="1466850" cy="1409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B7A81D9CAFDD4BD7AF994966545AA93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963400" y="29839285"/>
          <a:ext cx="2628900" cy="2609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58E4A781D7DF4258BB145D6720C37C7B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1963400" y="28810585"/>
          <a:ext cx="2628900" cy="2647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26B5114C29EC440D85473404B391210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963400" y="26067385"/>
          <a:ext cx="1352550" cy="1476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35EEAAB0486A4995B518B147605AE1F8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963400" y="27267535"/>
          <a:ext cx="1352550" cy="1390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8101BC858602400FB0CAA45BEC7B839C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963400" y="25038685"/>
          <a:ext cx="1409700" cy="1409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9095C11AB9574808A90C997194994C5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1963400" y="24009985"/>
          <a:ext cx="1371600" cy="1495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240EBE3B49354B969ACE822E9026DC64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963400" y="22981285"/>
          <a:ext cx="1419225" cy="1476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9FDCC8276AF142319A796CE24939B5C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1963400" y="22466935"/>
          <a:ext cx="1362075" cy="1466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12EC394F426345B4B5A10BFF0414B36C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1963400" y="21952585"/>
          <a:ext cx="1514475" cy="1466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C8183BC42501407BA37DB2E19BC32CF7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1963400" y="37371655"/>
          <a:ext cx="1533525" cy="1409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0C35370FD37741E683602AE5FB9B8A2C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1963400" y="34971355"/>
          <a:ext cx="1457325" cy="1428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2D5A43406DD24BBB80A993945D3453A5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1963400" y="33599755"/>
          <a:ext cx="1409700" cy="1457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E1A89C6F30FC4314B91B969F19C5CBCC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1963400" y="34552255"/>
          <a:ext cx="1485900" cy="1409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4870B7EA47A24C63A203F566CD589C3B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1963400" y="36656010"/>
          <a:ext cx="1447800" cy="1419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66897A690F3346FAACDACCBF4775EAA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1963400" y="33085405"/>
          <a:ext cx="1552575" cy="1571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49CD3CD1C27142CEA9CDAC61491A2496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1963400" y="32571055"/>
          <a:ext cx="1857375" cy="1638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427C24875A2B4472AB9EE1BB9DBE1A45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1963400" y="32056705"/>
          <a:ext cx="2838450" cy="2667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<sst xmlns="http://schemas.openxmlformats.org/spreadsheetml/2006/main" count="256" uniqueCount="208">
  <si>
    <t>物品属性</t>
  </si>
  <si>
    <t>物品名称</t>
  </si>
  <si>
    <t>效果</t>
  </si>
  <si>
    <t>物品等级</t>
  </si>
  <si>
    <t>物品描述</t>
  </si>
  <si>
    <t>装备</t>
  </si>
  <si>
    <t>荒原·破雾面罩</t>
  </si>
  <si>
    <t>绿</t>
  </si>
  <si>
    <t>老旧军用防毒面具</t>
  </si>
  <si>
    <r>
      <rPr>
        <sz val="10.5"/>
        <color rgb="FF61666B"/>
        <rFont val="宋体"/>
        <charset val="134"/>
      </rPr>
      <t>荒原</t>
    </r>
    <r>
      <rPr>
        <sz val="10.5"/>
        <color rgb="FF61666B"/>
        <rFont val="Segoe UI"/>
        <charset val="134"/>
      </rPr>
      <t>·</t>
    </r>
    <r>
      <rPr>
        <sz val="10.5"/>
        <color rgb="FF61666B"/>
        <rFont val="宋体"/>
        <charset val="134"/>
      </rPr>
      <t>皮质手套</t>
    </r>
  </si>
  <si>
    <t>皮手套关节处用铆钉加固，方便格挡碎骨与铁皮。指尖磨穿处露出茧</t>
  </si>
  <si>
    <t>荒原·残戍夹克</t>
  </si>
  <si>
    <t>军绿色夹克内衬锁子甲，铁丝编织粗糙但有效。补丁层层叠叠，每一块都是死里逃生的纪念。</t>
  </si>
  <si>
    <t>荒原·工装长裤</t>
  </si>
  <si>
    <t>卡其色工装裤，膝盖加耐磨层。右侧口袋缝着一枚生锈的幸存者硬币</t>
  </si>
  <si>
    <t>荒原·踏尘战靴</t>
  </si>
  <si>
    <t>高帮作战靴，鞋头包铁，鞋底纹路已磨平一半。适合在废墟与沥青上快速移动</t>
  </si>
  <si>
    <t>材料</t>
  </si>
  <si>
    <t>暴怒血核（红）</t>
  </si>
  <si>
    <t>用来升级枪械或者装备的效果</t>
  </si>
  <si>
    <t>蓝</t>
  </si>
  <si>
    <t>用于装备强化，将此材料镶嵌于武器中，可大幅提升装备的属性</t>
  </si>
  <si>
    <t>突变源质（绿）</t>
  </si>
  <si>
    <t>用来重置准备或枪械的附加词条</t>
  </si>
  <si>
    <t>用于装备属性洗练。使用该材料可重置装备的附加词条，</t>
  </si>
  <si>
    <t>幽能棱镜（紫）</t>
  </si>
  <si>
    <t>用来兑换其他材料</t>
  </si>
  <si>
    <t>通用高阶材料。蕴含着不稳定的精神能量，是幸存者聚落中的硬通货，可用于兑换各类稀缺资源</t>
  </si>
  <si>
    <t>消耗品</t>
  </si>
  <si>
    <t>绷带</t>
  </si>
  <si>
    <t>回复30%血量</t>
  </si>
  <si>
    <t>原游戏里</t>
  </si>
  <si>
    <t>急救包</t>
  </si>
  <si>
    <t>回复60%血量</t>
  </si>
  <si>
    <t>医疗箱</t>
  </si>
  <si>
    <t>回复100%血量</t>
  </si>
  <si>
    <t>能量饮料</t>
  </si>
  <si>
    <t>同原游戏</t>
  </si>
  <si>
    <t>止痛药</t>
  </si>
  <si>
    <t>肾上腺素（净化血清）</t>
  </si>
  <si>
    <t>解除瘴气里的负面效果，维持10秒</t>
  </si>
  <si>
    <t>原游戏里，经过多重过滤提取的清绿色液体，虽然看着有点浑浊，但它是废土上最珍贵的液体黄金。能中和体内的尸毒，让你暂时恢复清醒。</t>
  </si>
  <si>
    <t>道具</t>
  </si>
  <si>
    <t>倍率币</t>
  </si>
  <si>
    <t>结算时会双倍结算物品</t>
  </si>
  <si>
    <t>由幸存者联盟发行的特殊代币。只有在完成高难度猎杀任务后才会发放。在结算点出示此币，你的战利品估值将成倍增长。这是对勇者的最高奖赏。</t>
  </si>
  <si>
    <t>抽奖币</t>
  </si>
  <si>
    <t>用来在钻石抽奖池里进行抽奖</t>
  </si>
  <si>
    <t>从旧世界的废墟里挖出来的代币，被黑市商人重新镀金。没人知道里面装着什么，也许是过期的罐头，也许是绝版的突击步枪。在这个绝望的世界里，买一份希望吧。</t>
  </si>
  <si>
    <t>复活币</t>
  </si>
  <si>
    <t>在游戏中死亡能够复活</t>
  </si>
  <si>
    <r>
      <rPr>
        <sz val="12"/>
        <color rgb="FF666666"/>
        <rFont val="宋体"/>
        <charset val="134"/>
      </rPr>
      <t>刻有旧时代生物科技标志的合金代币。当你生命体征消失的瞬间，代币内的纳米机器会激活，强行重启你的心脏并修复受损</t>
    </r>
    <r>
      <rPr>
        <sz val="12"/>
        <color rgb="FF666666"/>
        <rFont val="Segoe UI"/>
        <charset val="134"/>
      </rPr>
      <t>DNA</t>
    </r>
    <r>
      <rPr>
        <sz val="12"/>
        <color rgb="FF666666"/>
        <rFont val="宋体"/>
        <charset val="134"/>
      </rPr>
      <t>。虽然过程极其痛苦，但活着总比变成丧尸强，对吧？</t>
    </r>
  </si>
  <si>
    <t>货币</t>
  </si>
  <si>
    <t>锈蚀G币</t>
  </si>
  <si>
    <t>游戏产出的货币</t>
  </si>
  <si>
    <t>由战前流通的金币熔铸而成，表面布满氧化锈迹，如今它是废土上最基础的硬通货，能换取干净的饮用水、过期的罐头和几发救命的子弹。记住，在末日里，能活下去的金币才叫钱。</t>
  </si>
  <si>
    <t>星穹钻</t>
  </si>
  <si>
    <t>付费的货币</t>
  </si>
  <si>
    <t>传说中来自陨石的蓝色晶体，内部闪烁着如星空般的裂纹，是旧世界科技与未知能量的结合体。它无法在废土上自然形成，只能通过特殊的渠道获得。用它可以在黑市兑换最尖端的武器、稀有的基因药剂，甚至是改变命运的“第二次机会”。</t>
  </si>
  <si>
    <t>雷霆核心</t>
  </si>
  <si>
    <t>局内游戏解锁道具的资源点数</t>
  </si>
  <si>
    <t>从被击毁的怪物内挖出的能量核心，齿轮与闪电的纹路仍在微微发烫，你可以用它解锁被封锁的武器箱，这是属于战士的战利品，每一颗都浸透着硝烟与勇气。</t>
  </si>
  <si>
    <t>腐化布料</t>
  </si>
  <si>
    <t>合成装备的基础材料</t>
  </si>
  <si>
    <t>从丧尸身上撕下的破烂布料，沾满干涸的血渍与污垢。虽然肮脏，但作为缝补防护服的基底却意外实用</t>
  </si>
  <si>
    <t>硬化骨片</t>
  </si>
  <si>
    <t>丧尸异常钙化的骨骼碎片，边缘锋利如刀，表面残留爪痕与齿印。轻而坚硬，适合加固护甲或制作近战武器。</t>
  </si>
  <si>
    <t>变异粘液</t>
  </si>
  <si>
    <t>丧尸体内渗出的墨绿色黏稠液体，装在破损试管中，散发着刺鼻的腐败气味。似乎能中和毒素，用于强化防护装备的抗性。</t>
  </si>
  <si>
    <t>领主之眼</t>
  </si>
  <si>
    <t>boss掉落的稀有材料，用于合成装备</t>
  </si>
  <si>
    <t>领主的眼球早已畸变为暗红色的多面晶体，内部仍有血色脉络缓慢流动。传闻它能看透尸潮的弱点，是打造顶级装备的稀有材料</t>
  </si>
  <si>
    <t>领主之心</t>
  </si>
  <si>
    <t>这颗紫红色的肉质核心从领主胸腔中挖出时仍在搏动。蕴含强大的变异能量，是制作传说级护甲的必备之物。</t>
  </si>
  <si>
    <t>羁绊种类</t>
  </si>
  <si>
    <t>费用等级</t>
  </si>
  <si>
    <t>卡牌名称</t>
  </si>
  <si>
    <t>羁绊效果</t>
  </si>
  <si>
    <t>卡牌属性</t>
  </si>
  <si>
    <t>对应贴图路径</t>
  </si>
  <si>
    <t>图片</t>
  </si>
  <si>
    <t>畸变猎手</t>
  </si>
  <si>
    <t>1费</t>
  </si>
  <si>
    <t>拉姆达</t>
  </si>
  <si>
    <t>共11张卡牌
3张时激活第一阶段效果：枪械攻击力 +8%，暴击率 +4%
7张时激活第二阶段效果：枪械攻击力 +18%，暴击率 +8%，暴击伤害 +15%
9张时激活第三阶段效果（最终效果）：枪械攻击力 +30%，暴击率 +12%，暴击伤害 +30%；新增 “暴击时造成额外 50% 伤害（独立乘区）”</t>
  </si>
  <si>
    <t>1星：攻击力 +3，暴击率 +1%
2星：攻击力 +4，暴击率 +1.5%
3星：攻击力 +5，暴击率 +2%</t>
  </si>
  <si>
    <t>路径：和平精英/美术资源/图标/突变团竞天赋/成群结队</t>
  </si>
  <si>
    <t>克西</t>
  </si>
  <si>
    <t>1星：攻击力 +3，对普通感染者伤害 +1%
2星：攻击力 +4，对普通感染者伤害 +1%
3星：攻击力 +5，对普通感染者伤害 +1%</t>
  </si>
  <si>
    <t>路径：和平精英/美术资源/图标/突变团竞天赋/单枪匹马</t>
  </si>
  <si>
    <t>柔</t>
  </si>
  <si>
    <t>1星：攻击力 +3，对远程感染者伤害 +1%
2星：攻击力 +4，对远程感染者伤害 +2%
3星：攻击力 +5，对远程感染者伤害 +3%</t>
  </si>
  <si>
    <t>路径：和平精英/美术资源/图标/突变团竞天赋/复仇使者</t>
  </si>
  <si>
    <t>宇普西隆</t>
  </si>
  <si>
    <t>1星：攻击力 +2，暴击伤害 +1%
2星：攻击力 +3，暴击伤害 +2%
3星：攻击力 +5，暴击率 +3%</t>
  </si>
  <si>
    <t>路径：和平精英/美术资源/图标/突变团竞天赋/立体机动</t>
  </si>
  <si>
    <t>2费</t>
  </si>
  <si>
    <t>疫核</t>
  </si>
  <si>
    <t>1星：攻击力 +5，暴击率 +1.5%，对远程感染者伤害 +2%
2星：攻击力 +7，暴击率 +2%，对远程感染者伤害 +3%
3星：攻击力 +9，暴击率 +2.5%，对远程感染者伤害 +4%</t>
  </si>
  <si>
    <t>路径：和平精英/美术资源/图标/突变团竞天赋/随机应变</t>
  </si>
  <si>
    <t>畸变</t>
  </si>
  <si>
    <t>1星：攻击力 +5，对迅捷感染者伤害 +4%，暴击率 +1%
2星：攻击力 +7，对迅捷感染者伤害 +6%，暴击率 +1.5%
3星：攻击力 +9，对迅捷感染者伤害 +8%，暴击率 +2%</t>
  </si>
  <si>
    <t>路径：和平精英/美术资源/图标/突变团竞天赋/视死如归</t>
  </si>
  <si>
    <t>噬疫</t>
  </si>
  <si>
    <t>1星：攻击力 +4，暴击伤害 +5%
2星：攻击力 +6，暴击伤害 +8%
3星：攻击力 +8，暴击伤害 +12%，暴击率 +1%</t>
  </si>
  <si>
    <t>路径：和平精英/美术资源/图标/突变团竞天赋/随心所欲</t>
  </si>
  <si>
    <t>3费</t>
  </si>
  <si>
    <t>阿尔法・猎</t>
  </si>
  <si>
    <t>1星：攻击力 +10，暴击率 +4%，对精英怪伤害 +6%
2星：攻击力 +13，暴击率 +5%，对精英怪伤害 +8%
3星：攻击力 +16，暴击率 +6%，对精英怪伤害 +10%，暴击伤害 +10%</t>
  </si>
  <si>
    <t>路径：和平精英/美术资源/图标/突变团竞天赋/特殊抗性</t>
  </si>
  <si>
    <t>猎疫先锋</t>
  </si>
  <si>
    <t>1星：攻击力 +9，暴击率 +3%，对远程怪伤害 +5%
2星：攻击力 +12，暴击率 +4%，对远程怪伤害 +7%
3星：攻击力 +15，暴击率 +5%，对远程怪伤害 +10%</t>
  </si>
  <si>
    <t>路径：和平精英/美术资源/图标/突变团竞天赋/无限成长</t>
  </si>
  <si>
    <t>4费</t>
  </si>
  <si>
    <t>灾变猎手</t>
  </si>
  <si>
    <t>1星：攻击力 +18，暴击率 +8%，对所有怪物伤害 +8%，暴击伤害 +10%，穿透伤害 +5%
2星：攻击力 +22，暴击率 +10%，对所有怪物伤害 +12%，暴击伤害 +15%，穿透伤害 +8%
3星：攻击力 +26，暴击率 +12%，对所有怪物伤害 +15%，暴击伤害 +20%，穿透伤害 +10%</t>
  </si>
  <si>
    <t>路径：和平精英/美术资源/图标/突变团竞天赋/硬质头骨</t>
  </si>
  <si>
    <t>5费</t>
  </si>
  <si>
    <t>始祖·猎魂</t>
  </si>
  <si>
    <t>1星：攻击力 +30，暴击率 +15%，对BOSS伤害 +20%，暴击伤害 +30%
2星：攻击力 +35，暴击率 +18%，对BOSS伤害 +25%，暴击伤害 +40%
3星：攻击力 +40，暴击率 +20%，对BOSS伤害 +30%，暴击伤害 +50%，暴击时无视目标 10% 防御</t>
  </si>
  <si>
    <t>路径：和平精英/美术资源/图标/突变团竞天赋/亚种攻势</t>
  </si>
  <si>
    <t>腐甲防御者</t>
  </si>
  <si>
    <t>奥米伽</t>
  </si>
  <si>
    <t>共10张卡牌
4张时激活第一阶段效果：生命值 +15%，近战伤害减免 +10%，对重装感染者重击伤害减免 +10%
7张时激活第二阶段效果：生命值 +35%，近战伤害减免 +20%，对重装感染者重击伤害减免 +20%
9张时激活第三阶段效果（最终效果）：生命值 +60%，近战伤害减免 +30%，对重装感染者重击伤害减免 +30%；新增 “受到攻击时有 30% 概率生成护盾（护盾值为最大生命的 10%，持续 4 秒）”</t>
  </si>
  <si>
    <t>1星：生命值 +15
2星：生命值 +25
3星：生命值 +35，近战伤害减免 +1%</t>
  </si>
  <si>
    <t>路径：和平精英/美术资源/图标/超体插件/金色插件/头铁</t>
  </si>
  <si>
    <t>西格玛</t>
  </si>
  <si>
    <t>1星：生命值 +12，近战伤害减免 +1%
2星：生命值 +20，近战伤害减免 +1.5%
3星：生命值 +28，近战伤害减免 +2%</t>
  </si>
  <si>
    <t>路径：和平精英/美术资源/图标/超体插件/金色插件/一命通关</t>
  </si>
  <si>
    <t>菲</t>
  </si>
  <si>
    <t>1星：生命值 +10，重击伤害减免 +2%
2星：生命值 +18，重击伤害减免 +3%
3星：生命值 +26，重击伤害减免 +4%</t>
  </si>
  <si>
    <t>路径：和平精英/美术资源/图标/超体插件/金色插件/破甲射击</t>
  </si>
  <si>
    <t>岩甲</t>
  </si>
  <si>
    <t>1星：生命值 +30，近战伤害减免 +2%
2星：生命值 +45，近战伤害减免 +3%
3星：生命值 +60，近战伤害减免 +4%</t>
  </si>
  <si>
    <t>路径：和平精英/美术资源/图标/超体插件/金色插件/碎片子弹</t>
  </si>
  <si>
    <t>厚腐</t>
  </si>
  <si>
    <t>1星：生命值 +35，重击伤害减免 +2%
2星：生命值 +50，重击伤害减免 +4%
3星：生命值 +65，重击伤害减免 +5%</t>
  </si>
  <si>
    <t>路径：和平精英/美术资源/图标/超体插件/金色插件/全面强化</t>
  </si>
  <si>
    <t>骨盾</t>
  </si>
  <si>
    <t>1星：生命值 +25，临时护盾概率 +2%
2星：生命值 +40，临时护盾概率 +3%
3星：生命值 +55，临时护盾概率 +5%，护盾厚度 +5</t>
  </si>
  <si>
    <t>路径：和平精英/美术资源/图标/超体插件/金色插件/淘汰王</t>
  </si>
  <si>
    <t>阿尔法·御</t>
  </si>
  <si>
    <t>1星：生命值 +70，近战伤害减免 +5%，重击伤害减免 +5%，临时护盾概率 +3%
2星：生命值 +90，近战伤害减免 +7%，重击伤害减免 +7%，临时护盾概率 +5%
3星：生命值 +110，近战伤害减免 +9%，重击伤害减免 +9%，临时护盾概率 +8%，护盾厚度 +10</t>
  </si>
  <si>
    <t>路径：和平精英/美术资源/图标/超体插件/金色插件/防御姿态</t>
  </si>
  <si>
    <t>腐岩卫</t>
  </si>
  <si>
    <t>1星：生命值 +60，近战伤害减免 +6%，重击伤害减免 +8%
2星：生命值 +80，近战伤害减免 +8%，重击伤害减免 +10%
3星：生命值 +100，近战伤害减免 +10%，重击伤害减免 +12%，受到攻击时反弹 5% 伤害</t>
  </si>
  <si>
    <t>路径：和平精英/美术资源/图标/超体插件/金色插件/双层弹药</t>
  </si>
  <si>
    <t>骨甲巨卫</t>
  </si>
  <si>
    <t>1星：生命值 +120，近战伤害减免 +12%，重击伤害减免 +15%，临时护盾概率 +8%
2星：生命值 +150，近战伤害减免 +15%，重击伤害减免 +18%，临时护盾概率 +12%
3星：生命值 +180，近战伤害减免 +18%，重击伤害减免 +22%，临时护盾概率 +15%，护盾厚度 +20，且护盾存在期间减伤 +10%</t>
  </si>
  <si>
    <t>路径：和平精英/美术资源/图标/超体插件/金色插件/高能晶体</t>
  </si>
  <si>
    <t>始祖·御界</t>
  </si>
  <si>
    <t>1星：生命值 +400，近战伤害减免 +10%，重击伤害减免 +10%，临时护盾概率 +8%
2星：生命值 +600，近战伤害减免 +15%，重击伤害减免 +15%，临时护盾概率 +12%，护盾厚度 +100
3星：生命值 +800，近战伤害减免 +20%，重击伤害减免 +20%，临时护盾概率 +15%，护盾厚度 +200，且 每 30 秒自动生成一个最大生命 15% 的护盾（不依赖概率）</t>
  </si>
  <si>
    <t>路径：和平精英/美术资源/图标/超体插件/金色插件/耐心猎手</t>
  </si>
  <si>
    <t>疫毒反噬者</t>
  </si>
  <si>
    <t>纽</t>
  </si>
  <si>
    <t>共9张卡牌
3张时激活第一阶段效果：疫毒触发概率 +10%，疫毒持续伤害 +5/秒
5张时激活第二阶段效果：疫毒触发概率 +20%，疫毒持续伤害 +10/秒，反弹伤害 +10%
8张时激活第三阶段效果（最终效果）：疫毒触发概率 +35%，疫毒持续伤害 +15/秒，反弹伤害 +20%；新增 “疫毒可传染至 2 个额外目标”</t>
  </si>
  <si>
    <t>1星：疫毒触发概率 +2%，反弹伤害 +1%
2星：疫毒触发概率 +3%，反弹伤害 +1.5%
3星：疫毒触发概率 +4%，反弹伤害 +2%</t>
  </si>
  <si>
    <t>路径：和平精英/美术资源/图标/超体插件/紫色插件/保持冷静</t>
  </si>
  <si>
    <t>派</t>
  </si>
  <si>
    <t>1星：疫毒触发概率 +1.5%，反弹伤害 +1.5%
2星：疫毒触发概率 +2.5%，反弹伤害 +2%
3星：疫毒触发概率 +3.5%，反弹伤害 +2.5%</t>
  </si>
  <si>
    <t>路径：和平精英/美术资源/图标/超体插件/紫色插件/能量满溢</t>
  </si>
  <si>
    <t>陶</t>
  </si>
  <si>
    <t>1星：疫毒持续伤害 +1/秒，反弹伤害 +1%
2星：疫毒持续伤害 +2/秒，反弹伤害 +1.5%
3星：疫毒持续伤害 +3/秒，反弹伤害 +2%</t>
  </si>
  <si>
    <t>路径：和平精英/美术资源/图标/超体插件/紫色插件/狂野车手</t>
  </si>
  <si>
    <t>源生</t>
  </si>
  <si>
    <t>1星：疫毒触发概率 +4%，反弹伤害 +3%，疫毒持续伤害 +2/秒
2星：疫毒触发概率 +6%，反弹伤害 +4%，疫毒持续伤害 +3/秒
3星：疫毒触发概率 +8%，反弹伤害 +5%，疫毒持续伤害 +4/秒</t>
  </si>
  <si>
    <t>路径：和平精英/美术资源/图标/超体插件/紫色插件/魔术手</t>
  </si>
  <si>
    <t>灵能</t>
  </si>
  <si>
    <t>1星：疫毒触发概率 +4%，反弹伤害 +3%，疫毒范围 +0.5米
2星：疫毒触发概率 +6%，反弹伤害 +4%，疫毒范围 +1米
3星：疫毒触发概率 +8%，反弹伤害 +5%，疫毒范围 +1.5米</t>
  </si>
  <si>
    <t>路径：和平精英/美术资源/图标/超体插件/紫色插件/王者归来</t>
  </si>
  <si>
    <t>阿尔法·能</t>
  </si>
  <si>
    <t>1星：疫毒触发概率 +7%，反弹伤害 +6%，疫毒持续伤害 +4/秒
2星：疫毒触发概率 +10%，反弹伤害 +8%，疫毒持续伤害 +6/秒
3星：疫毒触发概率 +13%，反弹伤害 +10%，疫毒持续伤害 +8/秒，疫毒持续时间 +1秒</t>
  </si>
  <si>
    <t>路径：和平精英/美术资源/图标/超体插件/紫色插件/交给命运</t>
  </si>
  <si>
    <t>源力师</t>
  </si>
  <si>
    <t>1星：疫毒触发概率 +6%，反弹伤害 +7%，疫毒持续伤害 +5/秒，反弹范围 +1米
2星：疫毒触发概率 +9%，反弹伤害 +9%，疫毒持续伤害 +7/秒，反弹范围 +1.5米
3星：疫毒触发概率 +12%，反弹伤害 +11%，疫毒持续伤害 +9/秒，反弹范围 +2米</t>
  </si>
  <si>
    <t>路径：和平精英/美术资源/图标/超体插件/紫色插件/战术协同</t>
  </si>
  <si>
    <t>源能主宰</t>
  </si>
  <si>
    <t>1星：疫毒触发概率 +12%，反弹伤害 +10%，疫毒持续伤害 +8/秒，传染 +1目标
2星：疫毒触发概率 +16%，反弹伤害 +13%，疫毒持续伤害 +10/秒，传染 +2目标
3星：疫毒触发概率 +20%，反弹伤害 +16%，疫毒持续伤害 +12/秒，传染 +3目标</t>
  </si>
  <si>
    <t>路径：和平精英/美术资源/图标/超体插件/紫色插件/技巧射击</t>
  </si>
  <si>
    <t>始祖·疫源</t>
  </si>
  <si>
    <t>1星：疫毒触发概率 +15%，反弹伤害 +12%，疫毒持续伤害 +8/秒，传染 +1 目标
2星：疫毒触发概率 +20%，反弹伤害 +15%，疫毒持续伤害 +10/秒，传染 +1 目标
3星：疫毒触发概率 +25%，反弹伤害 +18%，疫毒持续伤害 +12/秒，传染 +2 目标，且 疫毒持续时间延长 3 秒，被疫毒感染的敌人攻击力降低 10%</t>
  </si>
  <si>
    <t>路径：和平精英/美术资源/图标/超体插件/紫色插件/先发制人</t>
  </si>
  <si>
    <t>迅影突袭者</t>
  </si>
  <si>
    <t>罗</t>
  </si>
  <si>
    <t>共8张卡牌
3张时激活第一阶段效果:攻击速度 +10%，移动速度 +8%
5张时激活第二阶段效果:攻击速度 +20%，移动速度 +15%，换弹速度 +15%
7张时激活第三阶段效果（最终效果）:攻击速度 +30%，移动速度 +25%，换弹速度 +25%；新增 “连续击杀 3 只丧尸后，接下来 3 秒内攻击速度额外 +25%（冷却 5 秒）”</t>
  </si>
  <si>
    <t>1星：攻击速度 +2%
2星：攻击速度 +3%
3星：攻击速度 +4%，移动速度 +1%</t>
  </si>
  <si>
    <t>路径：和平精英/美术资源/图标/超体插件/蓝色插件/听电恢复</t>
  </si>
  <si>
    <t>桑</t>
  </si>
  <si>
    <t>1星：移动速度 +2%
2星：移动速度 +3%
3星：移动速度 +4%，攻击速度 +1%</t>
  </si>
  <si>
    <t>路径：和平精英/美术资源/图标/超体插件/蓝色插件/爱与和平</t>
  </si>
  <si>
    <t>科</t>
  </si>
  <si>
    <t>1星：换弹速度 +4%
2星：换弹速度 +6%
3星：换弹速度 +8%，攻击速度 +1%</t>
  </si>
  <si>
    <t>路径：和平精英/美术资源/图标/超体插件/蓝色插件/充分准备</t>
  </si>
  <si>
    <t>掠风</t>
  </si>
  <si>
    <t>1星：攻击速度 +5%，移动速度 +3%
2星：攻击速度 +7%，移动速度 +4%
3星：攻击速度 +9%，移动速度 +5%，换弹速度 +4%</t>
  </si>
  <si>
    <t>路径：和平精英/美术资源/图标/超体插件/蓝色插件/乘风破浪</t>
  </si>
  <si>
    <t>疾踪</t>
  </si>
  <si>
    <t>1星：移动速度 +5%，换弹速度 +5%
2星：移动速度 +7%，换弹速度 +7%
3星：移动速度 +9%，换弹速度 +9%，攻击速度 +3%</t>
  </si>
  <si>
    <t>路径：和平精英/美术资源/图标/超体插件/蓝色插件/心跳时刻</t>
  </si>
  <si>
    <t>阿尔法・迅</t>
  </si>
  <si>
    <t>1星：攻击速度 +10%，移动速度 +8%，换弹速度 +8%
2星：攻击速度 +13%，移动速度 +10%，换弹速度 +10%
3星：攻击速度 +16%，移动速度 +12%，换弹速度 +12%，且 击杀后移速 +10% 持续 2 秒</t>
  </si>
  <si>
    <t>路径：和平精英/美术资源/图标/超体插件/蓝色插件/炫舞达人</t>
  </si>
  <si>
    <t>瞬刃</t>
  </si>
  <si>
    <t>1星：攻击速度 +15%，移动速度 +12%，换弹速度 +12%，闪避率 +3%
2星：攻击速度 +18%，移动速度 +15%，换弹速度 +15%，闪避率 +5%
3星：攻击速度 +22%，移动速度 +18%，换弹速度 +18%，闪避率 +8%，且 攻击时有 10% 几率造成双倍伤害</t>
  </si>
  <si>
    <t>路径：和平精英/美术资源/图标/超体插件/蓝色插件/移动恢复</t>
  </si>
  <si>
    <t>始祖·影</t>
  </si>
  <si>
    <t>1星：攻击速度 +20%，移动速度 +15%，换弹速度 +15%，闪避率 +5%，连杀爆发效果延长 1 秒
2星：攻击速度 +25%，移动速度 +20%，换弹速度 +20%，闪避率 +8%，连杀爆发效果延长 1.5 秒
3星：攻击速度 +30%，移动速度 +25%，换弹速度 +25%，闪避率 +10%，连杀爆发效果延长 2 秒，且 每次闪避后下一次攻击必暴击</t>
  </si>
  <si>
    <t>路径：和平精英/美术资源/图标/超体插件/蓝色插件/匍匐战术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</si>
</sst>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2"/>
      <color rgb="FF222222"/>
      <name val="Segoe UI"/>
      <charset val="134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0.5"/>
      <color rgb="FF61666B"/>
      <name val="宋体"/>
      <charset val="134"/>
    </font>
    <font>
      <sz val="10.5"/>
      <color rgb="FF61666B"/>
      <name val="Segoe UI"/>
      <charset val="134"/>
    </font>
    <font>
      <sz val="10.5"/>
      <color rgb="FF222222"/>
      <name val="宋体"/>
      <charset val="134"/>
    </font>
    <font>
      <sz val="12"/>
      <color rgb="FF666666"/>
      <name val="宋体"/>
      <charset val="134"/>
    </font>
    <font>
      <sz val="12"/>
      <color rgb="FF222222"/>
      <name val="宋体"/>
      <charset val="134"/>
    </font>
    <font>
      <sz val="12"/>
      <color rgb="FF666666"/>
      <name val="Segoe UI"/>
      <charset val="134"/>
    </font>
    <font>
      <sz val="12"/>
      <color rgb="FF0F1115"/>
      <name val="Segoe UI"/>
      <charset val="134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3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4" borderId="5">
      <alignment vertical="center"/>
    </xf>
    <xf numFmtId="0" fontId="22" fillId="5" borderId="6">
      <alignment vertical="center"/>
    </xf>
    <xf numFmtId="0" fontId="23" fillId="5" borderId="5">
      <alignment vertical="center"/>
    </xf>
    <xf numFmtId="0" fontId="24" fillId="6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7" borderId="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1" fillId="12" borderId="0">
      <alignment vertical="center"/>
    </xf>
    <xf numFmtId="0" fontId="30" fillId="13" borderId="0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0" fillId="33" borderId="0">
      <alignment vertical="center"/>
    </xf>
  </cellStyleXfs>
  <cellXfs count="25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2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H35" sqref="H35"/>
    </sheetView>
  </sheetViews>
  <sheetFormatPr defaultColWidth="9" defaultRowHeight="13.5" outlineLevelCol="4"/>
  <cols>
    <col min="2" max="4" width="13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t="s">
        <v>5</v>
      </c>
      <c r="B2" s="14" t="s">
        <v>6</v>
      </c>
      <c r="C2" s="14"/>
      <c r="D2" s="15" t="s">
        <v>7</v>
      </c>
      <c r="E2" s="16" t="s">
        <v>8</v>
      </c>
    </row>
    <row r="3" ht="15.75" spans="1:5">
      <c r="A3" t="s">
        <v>5</v>
      </c>
      <c r="B3" s="16" t="s">
        <v>9</v>
      </c>
      <c r="C3" s="16"/>
      <c r="D3" s="15" t="s">
        <v>7</v>
      </c>
      <c r="E3" s="17" t="s">
        <v>10</v>
      </c>
    </row>
    <row r="4" ht="15.75" spans="1:5">
      <c r="A4" t="s">
        <v>5</v>
      </c>
      <c r="B4" s="17" t="s">
        <v>11</v>
      </c>
      <c r="C4" s="17"/>
      <c r="D4" s="15" t="s">
        <v>7</v>
      </c>
      <c r="E4" s="17" t="s">
        <v>12</v>
      </c>
    </row>
    <row r="5" ht="15.75" spans="1:5">
      <c r="A5" t="s">
        <v>5</v>
      </c>
      <c r="B5" s="17" t="s">
        <v>13</v>
      </c>
      <c r="C5" s="17"/>
      <c r="D5" s="15" t="s">
        <v>7</v>
      </c>
      <c r="E5" s="17" t="s">
        <v>14</v>
      </c>
    </row>
    <row r="6" ht="15.75" spans="1:5">
      <c r="A6" t="s">
        <v>5</v>
      </c>
      <c r="B6" s="17" t="s">
        <v>15</v>
      </c>
      <c r="C6" s="17"/>
      <c r="D6" s="15" t="s">
        <v>7</v>
      </c>
      <c r="E6" s="17" t="s">
        <v>16</v>
      </c>
    </row>
    <row r="7" ht="14.25" spans="1:5">
      <c r="A7" t="s">
        <v>17</v>
      </c>
      <c r="B7" s="18" t="s">
        <v>18</v>
      </c>
      <c r="C7" s="18" t="s">
        <v>19</v>
      </c>
      <c r="D7" s="18" t="s">
        <v>20</v>
      </c>
      <c r="E7" s="19" t="s">
        <v>21</v>
      </c>
    </row>
    <row r="8" ht="17.25" spans="1:5">
      <c r="A8" t="s">
        <v>17</v>
      </c>
      <c r="B8" s="20" t="s">
        <v>22</v>
      </c>
      <c r="C8" s="20" t="s">
        <v>23</v>
      </c>
      <c r="D8" s="18" t="s">
        <v>20</v>
      </c>
      <c r="E8" s="21" t="s">
        <v>24</v>
      </c>
    </row>
    <row r="9" ht="17.25" spans="1:5">
      <c r="A9" t="s">
        <v>17</v>
      </c>
      <c r="B9" s="20" t="s">
        <v>25</v>
      </c>
      <c r="C9" s="20" t="s">
        <v>26</v>
      </c>
      <c r="D9" s="20"/>
      <c r="E9" s="22" t="s">
        <v>27</v>
      </c>
    </row>
    <row r="10" ht="14.25" spans="1:5">
      <c r="A10" t="s">
        <v>28</v>
      </c>
      <c r="B10" s="20" t="s">
        <v>29</v>
      </c>
      <c r="C10" s="20" t="s">
        <v>30</v>
      </c>
      <c r="D10" s="20"/>
      <c r="E10" s="19" t="s">
        <v>31</v>
      </c>
    </row>
    <row r="11" ht="14.25" spans="1:5">
      <c r="A11" t="s">
        <v>28</v>
      </c>
      <c r="B11" s="20" t="s">
        <v>32</v>
      </c>
      <c r="C11" s="20" t="s">
        <v>33</v>
      </c>
      <c r="D11" s="20"/>
      <c r="E11" s="19" t="s">
        <v>31</v>
      </c>
    </row>
    <row r="12" ht="14.25" spans="1:5">
      <c r="A12" t="s">
        <v>28</v>
      </c>
      <c r="B12" s="20" t="s">
        <v>34</v>
      </c>
      <c r="C12" s="20" t="s">
        <v>35</v>
      </c>
      <c r="D12" s="20"/>
      <c r="E12" s="19" t="s">
        <v>31</v>
      </c>
    </row>
    <row r="13" ht="14.25" spans="1:5">
      <c r="A13" t="s">
        <v>28</v>
      </c>
      <c r="B13" s="20" t="s">
        <v>36</v>
      </c>
      <c r="C13" s="20" t="s">
        <v>37</v>
      </c>
      <c r="D13" s="20"/>
      <c r="E13" s="19" t="s">
        <v>31</v>
      </c>
    </row>
    <row r="14" ht="14.25" spans="1:5">
      <c r="A14" t="s">
        <v>28</v>
      </c>
      <c r="B14" s="20" t="s">
        <v>38</v>
      </c>
      <c r="C14" s="20" t="s">
        <v>37</v>
      </c>
      <c r="D14" s="20"/>
      <c r="E14" s="19" t="s">
        <v>31</v>
      </c>
    </row>
    <row r="15" ht="14.25" spans="1:5">
      <c r="A15" t="s">
        <v>28</v>
      </c>
      <c r="B15" s="20" t="s">
        <v>39</v>
      </c>
      <c r="C15" s="20" t="s">
        <v>40</v>
      </c>
      <c r="D15" s="20"/>
      <c r="E15" s="19" t="s">
        <v>41</v>
      </c>
    </row>
    <row r="16" ht="17.25" spans="1:5">
      <c r="A16" t="s">
        <v>42</v>
      </c>
      <c r="B16" t="s">
        <v>43</v>
      </c>
      <c r="C16" t="s">
        <v>44</v>
      </c>
      <c r="E16" s="21" t="s">
        <v>45</v>
      </c>
    </row>
    <row r="17" ht="14.25" spans="1:5">
      <c r="A17" t="s">
        <v>42</v>
      </c>
      <c r="B17" t="s">
        <v>46</v>
      </c>
      <c r="C17" t="s">
        <v>47</v>
      </c>
      <c r="E17" s="19" t="s">
        <v>48</v>
      </c>
    </row>
    <row r="18" ht="17.25" spans="1:5">
      <c r="A18" t="s">
        <v>42</v>
      </c>
      <c r="B18" t="s">
        <v>49</v>
      </c>
      <c r="C18" t="s">
        <v>50</v>
      </c>
      <c r="E18" s="19" t="s">
        <v>51</v>
      </c>
    </row>
    <row r="19" ht="17.25" spans="1:5">
      <c r="A19" t="s">
        <v>52</v>
      </c>
      <c r="B19" s="22" t="s">
        <v>53</v>
      </c>
      <c r="C19" s="20" t="s">
        <v>54</v>
      </c>
      <c r="D19" s="22"/>
      <c r="E19" s="20" t="s">
        <v>55</v>
      </c>
    </row>
    <row r="20" ht="17.25" spans="1:5">
      <c r="A20" t="s">
        <v>52</v>
      </c>
      <c r="B20" s="22" t="s">
        <v>56</v>
      </c>
      <c r="C20" s="20" t="s">
        <v>57</v>
      </c>
      <c r="D20" s="22"/>
      <c r="E20" s="22" t="s">
        <v>58</v>
      </c>
    </row>
    <row r="21" ht="17.25" spans="1:5">
      <c r="A21" t="s">
        <v>52</v>
      </c>
      <c r="B21" s="22" t="s">
        <v>59</v>
      </c>
      <c r="C21" s="20" t="s">
        <v>60</v>
      </c>
      <c r="D21" s="22"/>
      <c r="E21" s="20" t="s">
        <v>61</v>
      </c>
    </row>
    <row r="22" ht="17.25" spans="1:5">
      <c r="A22" t="s">
        <v>17</v>
      </c>
      <c r="B22" t="s">
        <v>62</v>
      </c>
      <c r="C22" t="s">
        <v>63</v>
      </c>
      <c r="D22" s="15"/>
      <c r="E22" s="23" t="s">
        <v>64</v>
      </c>
    </row>
    <row r="23" ht="17.25" spans="1:5">
      <c r="A23" t="s">
        <v>17</v>
      </c>
      <c r="B23" t="s">
        <v>65</v>
      </c>
      <c r="C23" t="s">
        <v>63</v>
      </c>
      <c r="E23" s="23" t="s">
        <v>66</v>
      </c>
    </row>
    <row r="24" ht="17.25" spans="1:5">
      <c r="A24" t="s">
        <v>17</v>
      </c>
      <c r="B24" t="s">
        <v>67</v>
      </c>
      <c r="C24" t="s">
        <v>63</v>
      </c>
      <c r="E24" s="23" t="s">
        <v>68</v>
      </c>
    </row>
    <row r="25" ht="14.25" spans="1:5">
      <c r="A25" t="s">
        <v>17</v>
      </c>
      <c r="B25" t="s">
        <v>69</v>
      </c>
      <c r="C25" t="s">
        <v>70</v>
      </c>
      <c r="E25" s="24" t="s">
        <v>71</v>
      </c>
    </row>
    <row r="26" ht="14.25" spans="1:5">
      <c r="A26" t="s">
        <v>17</v>
      </c>
      <c r="B26" t="s">
        <v>72</v>
      </c>
      <c r="C26" t="s">
        <v>70</v>
      </c>
      <c r="E26" s="24" t="s">
        <v>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zoomScale="85" zoomScaleNormal="85" workbookViewId="0">
      <selection activeCell="I1" sqref="I1"/>
    </sheetView>
  </sheetViews>
  <sheetFormatPr defaultColWidth="9" defaultRowHeight="13.5" outlineLevelCol="6"/>
  <cols>
    <col min="1" max="1" width="10.875" customWidth="1"/>
    <col min="3" max="3" width="10.875" customWidth="1"/>
    <col min="4" max="4" width="34.625" customWidth="1"/>
    <col min="5" max="5" width="40.625" customWidth="1"/>
    <col min="6" max="6" width="51" customWidth="1"/>
    <col min="7" max="9" width="12.5"/>
  </cols>
  <sheetData>
    <row r="1" spans="1:7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2" t="s">
        <v>80</v>
      </c>
    </row>
    <row r="2" ht="73.65" spans="1:7">
      <c r="A2" s="3" t="s">
        <v>81</v>
      </c>
      <c r="B2" s="3" t="s">
        <v>82</v>
      </c>
      <c r="C2" s="4" t="s">
        <v>83</v>
      </c>
      <c r="D2" s="5" t="s">
        <v>84</v>
      </c>
      <c r="E2" s="6" t="s">
        <v>85</v>
      </c>
      <c r="F2" s="1" t="s">
        <v>86</v>
      </c>
      <c r="G2" s="2" t="str">
        <f>_xlfn.DISPIMG("ID_D034C43C0C4B4002AE29D538AF39383A",1)</f>
        <v>=DISPIMG("ID_D034C43C0C4B4002AE29D538AF39383A",1)</v>
      </c>
    </row>
    <row r="3" ht="73.65" spans="1:7">
      <c r="A3" s="3"/>
      <c r="B3" s="3"/>
      <c r="C3" s="7" t="s">
        <v>87</v>
      </c>
      <c r="D3" s="5"/>
      <c r="E3" s="6" t="s">
        <v>88</v>
      </c>
      <c r="F3" s="1" t="s">
        <v>89</v>
      </c>
      <c r="G3" s="2" t="str">
        <f>_xlfn.DISPIMG("ID_8004AB05F6B642949CAE921746106575",1)</f>
        <v>=DISPIMG("ID_8004AB05F6B642949CAE921746106575",1)</v>
      </c>
    </row>
    <row r="4" ht="73.1" spans="1:7">
      <c r="A4" s="3"/>
      <c r="B4" s="3"/>
      <c r="C4" s="7" t="s">
        <v>90</v>
      </c>
      <c r="D4" s="5"/>
      <c r="E4" s="6" t="s">
        <v>91</v>
      </c>
      <c r="F4" s="1" t="s">
        <v>92</v>
      </c>
      <c r="G4" s="2" t="str">
        <f>_xlfn.DISPIMG("ID_64B8E5A1041541F998ACA5776D5882A0",1)</f>
        <v>=DISPIMG("ID_64B8E5A1041541F998ACA5776D5882A0",1)</v>
      </c>
    </row>
    <row r="5" ht="71.6" spans="1:7">
      <c r="A5" s="3"/>
      <c r="B5" s="3"/>
      <c r="C5" s="7" t="s">
        <v>93</v>
      </c>
      <c r="D5" s="5"/>
      <c r="E5" s="6" t="s">
        <v>94</v>
      </c>
      <c r="F5" s="1" t="s">
        <v>95</v>
      </c>
      <c r="G5" s="2" t="str">
        <f>_xlfn.DISPIMG("ID_F817ADAA8E9544709F9D7587945E19BD",1)</f>
        <v>=DISPIMG("ID_F817ADAA8E9544709F9D7587945E19BD",1)</v>
      </c>
    </row>
    <row r="6" ht="81" spans="1:7">
      <c r="A6" s="3"/>
      <c r="B6" s="3" t="s">
        <v>96</v>
      </c>
      <c r="C6" s="7" t="s">
        <v>97</v>
      </c>
      <c r="D6" s="5"/>
      <c r="E6" s="6" t="s">
        <v>98</v>
      </c>
      <c r="F6" s="1" t="s">
        <v>99</v>
      </c>
      <c r="G6" s="2" t="str">
        <f>_xlfn.DISPIMG("ID_3FBFEDD70D804EC4A94D736BB2A67AAD",1)</f>
        <v>=DISPIMG("ID_3FBFEDD70D804EC4A94D736BB2A67AAD",1)</v>
      </c>
    </row>
    <row r="7" ht="81" spans="1:7">
      <c r="A7" s="3"/>
      <c r="B7" s="3"/>
      <c r="C7" s="7" t="s">
        <v>100</v>
      </c>
      <c r="D7" s="5"/>
      <c r="E7" s="6" t="s">
        <v>101</v>
      </c>
      <c r="F7" s="1" t="s">
        <v>102</v>
      </c>
      <c r="G7" s="2" t="str">
        <f>_xlfn.DISPIMG("ID_745E82CDAC36477D99166615ED42472B",1)</f>
        <v>=DISPIMG("ID_745E82CDAC36477D99166615ED42472B",1)</v>
      </c>
    </row>
    <row r="8" ht="75" spans="1:7">
      <c r="A8" s="3"/>
      <c r="B8" s="3"/>
      <c r="C8" s="7" t="s">
        <v>103</v>
      </c>
      <c r="D8" s="5"/>
      <c r="E8" s="6" t="s">
        <v>104</v>
      </c>
      <c r="F8" s="1" t="s">
        <v>105</v>
      </c>
      <c r="G8" s="2" t="str">
        <f>_xlfn.DISPIMG("ID_A722CA1764EF4057B5B744E9A04B6846",1)</f>
        <v>=DISPIMG("ID_A722CA1764EF4057B5B744E9A04B6846",1)</v>
      </c>
    </row>
    <row r="9" ht="81" spans="1:7">
      <c r="A9" s="3"/>
      <c r="B9" s="3" t="s">
        <v>106</v>
      </c>
      <c r="C9" s="8" t="s">
        <v>107</v>
      </c>
      <c r="D9" s="5"/>
      <c r="E9" s="6" t="s">
        <v>108</v>
      </c>
      <c r="F9" s="1" t="s">
        <v>109</v>
      </c>
      <c r="G9" s="2" t="str">
        <f>_xlfn.DISPIMG("ID_62A476003A1B431D9BFA9C0A9B5ABC1C",1)</f>
        <v>=DISPIMG("ID_62A476003A1B431D9BFA9C0A9B5ABC1C",1)</v>
      </c>
    </row>
    <row r="10" ht="81" spans="1:7">
      <c r="A10" s="3"/>
      <c r="B10" s="3"/>
      <c r="C10" s="7" t="s">
        <v>110</v>
      </c>
      <c r="D10" s="5"/>
      <c r="E10" s="6" t="s">
        <v>111</v>
      </c>
      <c r="F10" s="1" t="s">
        <v>112</v>
      </c>
      <c r="G10" s="2" t="str">
        <f>_xlfn.DISPIMG("ID_1F867D3DC47147C495FE2DEFB01A4C04",1)</f>
        <v>=DISPIMG("ID_1F867D3DC47147C495FE2DEFB01A4C04",1)</v>
      </c>
    </row>
    <row r="11" ht="81" spans="1:7">
      <c r="A11" s="3"/>
      <c r="B11" s="3" t="s">
        <v>113</v>
      </c>
      <c r="C11" s="7" t="s">
        <v>114</v>
      </c>
      <c r="D11" s="5"/>
      <c r="E11" s="6" t="s">
        <v>115</v>
      </c>
      <c r="F11" s="1" t="s">
        <v>116</v>
      </c>
      <c r="G11" s="2" t="str">
        <f>_xlfn.DISPIMG("ID_A554E030B6B24D3C8746485D256D0960",1)</f>
        <v>=DISPIMG("ID_A554E030B6B24D3C8746485D256D0960",1)</v>
      </c>
    </row>
    <row r="12" ht="94.5" spans="1:7">
      <c r="A12" s="3"/>
      <c r="B12" s="3" t="s">
        <v>117</v>
      </c>
      <c r="C12" s="7" t="s">
        <v>118</v>
      </c>
      <c r="D12" s="5"/>
      <c r="E12" s="6" t="s">
        <v>119</v>
      </c>
      <c r="F12" s="1" t="s">
        <v>120</v>
      </c>
      <c r="G12" s="2" t="str">
        <f>_xlfn.DISPIMG("ID_4ACEF18032754CC59AB23E57F2E49521",1)</f>
        <v>=DISPIMG("ID_4ACEF18032754CC59AB23E57F2E49521",1)</v>
      </c>
    </row>
    <row r="13" ht="72.15" spans="1:7">
      <c r="A13" s="3" t="s">
        <v>121</v>
      </c>
      <c r="B13" s="3" t="s">
        <v>82</v>
      </c>
      <c r="C13" s="7" t="s">
        <v>122</v>
      </c>
      <c r="D13" s="5" t="s">
        <v>123</v>
      </c>
      <c r="E13" s="6" t="s">
        <v>124</v>
      </c>
      <c r="F13" s="1" t="s">
        <v>125</v>
      </c>
      <c r="G13" s="2" t="str">
        <f>_xlfn.DISPIMG("ID_7BA13A469D3D4C389E0009E99D31BA8F",1)</f>
        <v>=DISPIMG("ID_7BA13A469D3D4C389E0009E99D31BA8F",1)</v>
      </c>
    </row>
    <row r="14" ht="76.4" spans="1:7">
      <c r="A14" s="3"/>
      <c r="B14" s="3"/>
      <c r="C14" s="7" t="s">
        <v>126</v>
      </c>
      <c r="D14" s="5"/>
      <c r="E14" s="6" t="s">
        <v>127</v>
      </c>
      <c r="F14" s="1" t="s">
        <v>128</v>
      </c>
      <c r="G14" s="2" t="str">
        <f>_xlfn.DISPIMG("ID_CA9BD7B11BA64959AF500B5BCA5CBCEA",1)</f>
        <v>=DISPIMG("ID_CA9BD7B11BA64959AF500B5BCA5CBCEA",1)</v>
      </c>
    </row>
    <row r="15" ht="78.1" spans="1:7">
      <c r="A15" s="3"/>
      <c r="B15" s="3"/>
      <c r="C15" s="7" t="s">
        <v>129</v>
      </c>
      <c r="D15" s="5"/>
      <c r="E15" s="6" t="s">
        <v>130</v>
      </c>
      <c r="F15" s="1" t="s">
        <v>131</v>
      </c>
      <c r="G15" s="2" t="str">
        <f>_xlfn.DISPIMG("ID_C4D300B536B744109B2A7E8085428F83",1)</f>
        <v>=DISPIMG("ID_C4D300B536B744109B2A7E8085428F83",1)</v>
      </c>
    </row>
    <row r="16" ht="83.3" spans="1:7">
      <c r="A16" s="3"/>
      <c r="B16" s="3" t="s">
        <v>96</v>
      </c>
      <c r="C16" s="7" t="s">
        <v>132</v>
      </c>
      <c r="D16" s="5"/>
      <c r="E16" s="6" t="s">
        <v>133</v>
      </c>
      <c r="F16" s="1" t="s">
        <v>134</v>
      </c>
      <c r="G16" s="2" t="str">
        <f>_xlfn.DISPIMG("ID_4CF6C29F515444BE9F64D5F7C983F98F",1)</f>
        <v>=DISPIMG("ID_4CF6C29F515444BE9F64D5F7C983F98F",1)</v>
      </c>
    </row>
    <row r="17" ht="71.6" spans="1:7">
      <c r="A17" s="3"/>
      <c r="B17" s="3"/>
      <c r="C17" s="4" t="s">
        <v>135</v>
      </c>
      <c r="D17" s="5"/>
      <c r="E17" s="6" t="s">
        <v>136</v>
      </c>
      <c r="F17" s="1" t="s">
        <v>137</v>
      </c>
      <c r="G17" s="2" t="str">
        <f>_xlfn.DISPIMG("ID_C11C0F681BE04528991828DACDC9105B",1)</f>
        <v>=DISPIMG("ID_C11C0F681BE04528991828DACDC9105B",1)</v>
      </c>
    </row>
    <row r="18" ht="75.5" spans="1:7">
      <c r="A18" s="3"/>
      <c r="B18" s="3"/>
      <c r="C18" s="7" t="s">
        <v>138</v>
      </c>
      <c r="D18" s="5"/>
      <c r="E18" s="6" t="s">
        <v>139</v>
      </c>
      <c r="F18" s="1" t="s">
        <v>140</v>
      </c>
      <c r="G18" s="2" t="str">
        <f>_xlfn.DISPIMG("ID_83A3BF8B94354F82AA326E592D4E371D",1)</f>
        <v>=DISPIMG("ID_83A3BF8B94354F82AA326E592D4E371D",1)</v>
      </c>
    </row>
    <row r="19" ht="94.5" spans="1:7">
      <c r="A19" s="3"/>
      <c r="B19" s="3" t="s">
        <v>106</v>
      </c>
      <c r="C19" s="7" t="s">
        <v>141</v>
      </c>
      <c r="D19" s="5"/>
      <c r="E19" s="6" t="s">
        <v>142</v>
      </c>
      <c r="F19" s="1" t="s">
        <v>143</v>
      </c>
      <c r="G19" s="2" t="str">
        <f>_xlfn.DISPIMG("ID_2054BCC9BC794102BC88EF5CCCB9669A",1)</f>
        <v>=DISPIMG("ID_2054BCC9BC794102BC88EF5CCCB9669A",1)</v>
      </c>
    </row>
    <row r="20" ht="81" spans="1:7">
      <c r="A20" s="3"/>
      <c r="B20" s="3"/>
      <c r="C20" s="7" t="s">
        <v>144</v>
      </c>
      <c r="D20" s="5"/>
      <c r="E20" s="6" t="s">
        <v>145</v>
      </c>
      <c r="F20" s="1" t="s">
        <v>146</v>
      </c>
      <c r="G20" s="2" t="str">
        <f>_xlfn.DISPIMG("ID_0E23C146B7874924B95B0B772C47B14C",1)</f>
        <v>=DISPIMG("ID_0E23C146B7874924B95B0B772C47B14C",1)</v>
      </c>
    </row>
    <row r="21" ht="94.5" spans="1:7">
      <c r="A21" s="3"/>
      <c r="B21" s="3" t="s">
        <v>113</v>
      </c>
      <c r="C21" s="7" t="s">
        <v>147</v>
      </c>
      <c r="D21" s="5"/>
      <c r="E21" s="6" t="s">
        <v>148</v>
      </c>
      <c r="F21" s="1" t="s">
        <v>149</v>
      </c>
      <c r="G21" s="2" t="str">
        <f>_xlfn.DISPIMG("ID_1F1F6C3C3CB44B62B68C8587DF6A554A",1)</f>
        <v>=DISPIMG("ID_1F1F6C3C3CB44B62B68C8587DF6A554A",1)</v>
      </c>
    </row>
    <row r="22" ht="121.5" spans="1:7">
      <c r="A22" s="3"/>
      <c r="B22" s="3" t="s">
        <v>117</v>
      </c>
      <c r="C22" s="9" t="s">
        <v>150</v>
      </c>
      <c r="D22" s="5"/>
      <c r="E22" s="6" t="s">
        <v>151</v>
      </c>
      <c r="F22" s="1" t="s">
        <v>152</v>
      </c>
      <c r="G22" s="2" t="str">
        <f>_xlfn.DISPIMG("ID_63B5449E56A24EAB8F18EF2195392832",1)</f>
        <v>=DISPIMG("ID_63B5449E56A24EAB8F18EF2195392832",1)</v>
      </c>
    </row>
    <row r="23" ht="72.6" spans="1:7">
      <c r="A23" s="3" t="s">
        <v>153</v>
      </c>
      <c r="B23" s="3" t="s">
        <v>82</v>
      </c>
      <c r="C23" s="7" t="s">
        <v>154</v>
      </c>
      <c r="D23" s="10" t="s">
        <v>155</v>
      </c>
      <c r="E23" s="6" t="s">
        <v>156</v>
      </c>
      <c r="F23" s="1" t="s">
        <v>157</v>
      </c>
      <c r="G23" s="2" t="str">
        <f>_xlfn.DISPIMG("ID_12EC394F426345B4B5A10BFF0414B36C",1)</f>
        <v>=DISPIMG("ID_12EC394F426345B4B5A10BFF0414B36C",1)</v>
      </c>
    </row>
    <row r="24" ht="75" spans="1:7">
      <c r="A24" s="3"/>
      <c r="B24" s="3"/>
      <c r="C24" s="7" t="s">
        <v>158</v>
      </c>
      <c r="D24" s="10"/>
      <c r="E24" s="6" t="s">
        <v>159</v>
      </c>
      <c r="F24" s="1" t="s">
        <v>160</v>
      </c>
      <c r="G24" s="2" t="str">
        <f>_xlfn.DISPIMG("ID_9FDCC8276AF142319A796CE24939B5C8",1)</f>
        <v>=DISPIMG("ID_9FDCC8276AF142319A796CE24939B5C8",1)</v>
      </c>
    </row>
    <row r="25" ht="81" spans="1:7">
      <c r="A25" s="3"/>
      <c r="B25" s="3"/>
      <c r="C25" s="7" t="s">
        <v>161</v>
      </c>
      <c r="D25" s="10"/>
      <c r="E25" s="6" t="s">
        <v>162</v>
      </c>
      <c r="F25" s="1" t="s">
        <v>163</v>
      </c>
      <c r="G25" s="2" t="str">
        <f>_xlfn.DISPIMG("ID_240EBE3B49354B969ACE822E9026DC64",1)</f>
        <v>=DISPIMG("ID_240EBE3B49354B969ACE822E9026DC64",1)</v>
      </c>
    </row>
    <row r="26" ht="81" spans="1:7">
      <c r="A26" s="3"/>
      <c r="B26" s="3" t="s">
        <v>96</v>
      </c>
      <c r="C26" s="7" t="s">
        <v>164</v>
      </c>
      <c r="D26" s="10"/>
      <c r="E26" s="6" t="s">
        <v>165</v>
      </c>
      <c r="F26" s="1" t="s">
        <v>166</v>
      </c>
      <c r="G26" s="2" t="str">
        <f>_xlfn.DISPIMG("ID_9095C11AB9574808A90C997194994C5E",1)</f>
        <v>=DISPIMG("ID_9095C11AB9574808A90C997194994C5E",1)</v>
      </c>
    </row>
    <row r="27" ht="81" spans="1:7">
      <c r="A27" s="3"/>
      <c r="B27" s="3"/>
      <c r="C27" s="7" t="s">
        <v>167</v>
      </c>
      <c r="D27" s="10"/>
      <c r="E27" s="6" t="s">
        <v>168</v>
      </c>
      <c r="F27" s="1" t="s">
        <v>169</v>
      </c>
      <c r="G27" s="2" t="str">
        <f>_xlfn.DISPIMG("ID_8101BC858602400FB0CAA45BEC7B839C",1)</f>
        <v>=DISPIMG("ID_8101BC858602400FB0CAA45BEC7B839C",1)</v>
      </c>
    </row>
    <row r="28" ht="94.5" spans="1:7">
      <c r="A28" s="3"/>
      <c r="B28" s="3" t="s">
        <v>106</v>
      </c>
      <c r="C28" s="7" t="s">
        <v>170</v>
      </c>
      <c r="D28" s="10"/>
      <c r="E28" s="6" t="s">
        <v>171</v>
      </c>
      <c r="F28" s="1" t="s">
        <v>172</v>
      </c>
      <c r="G28" s="2" t="str">
        <f>_xlfn.DISPIMG("ID_26B5114C29EC440D85473404B3912109",1)</f>
        <v>=DISPIMG("ID_26B5114C29EC440D85473404B3912109",1)</v>
      </c>
    </row>
    <row r="29" ht="121.5" spans="1:7">
      <c r="A29" s="3"/>
      <c r="B29" s="3"/>
      <c r="C29" s="7" t="s">
        <v>173</v>
      </c>
      <c r="D29" s="10"/>
      <c r="E29" s="6" t="s">
        <v>174</v>
      </c>
      <c r="F29" s="1" t="s">
        <v>175</v>
      </c>
      <c r="G29" s="2" t="str">
        <f>_xlfn.DISPIMG("ID_35EEAAB0486A4995B518B147605AE1F8",1)</f>
        <v>=DISPIMG("ID_35EEAAB0486A4995B518B147605AE1F8",1)</v>
      </c>
    </row>
    <row r="30" ht="81" spans="1:7">
      <c r="A30" s="3"/>
      <c r="B30" s="3" t="s">
        <v>113</v>
      </c>
      <c r="C30" s="7" t="s">
        <v>176</v>
      </c>
      <c r="D30" s="10"/>
      <c r="E30" s="6" t="s">
        <v>177</v>
      </c>
      <c r="F30" s="1" t="s">
        <v>178</v>
      </c>
      <c r="G30" s="2" t="str">
        <f>_xlfn.DISPIMG("ID_58E4A781D7DF4258BB145D6720C37C7B",1)</f>
        <v>=DISPIMG("ID_58E4A781D7DF4258BB145D6720C37C7B",1)</v>
      </c>
    </row>
    <row r="31" ht="108" spans="1:7">
      <c r="A31" s="3"/>
      <c r="B31" s="3" t="s">
        <v>117</v>
      </c>
      <c r="C31" s="9" t="s">
        <v>179</v>
      </c>
      <c r="D31" s="10"/>
      <c r="E31" s="6" t="s">
        <v>180</v>
      </c>
      <c r="F31" s="1" t="s">
        <v>181</v>
      </c>
      <c r="G31" s="2" t="str">
        <f>_xlfn.DISPIMG("ID_B7A81D9CAFDD4BD7AF994966545AA93E",1)</f>
        <v>=DISPIMG("ID_B7A81D9CAFDD4BD7AF994966545AA93E",1)</v>
      </c>
    </row>
    <row r="32" ht="70.45" spans="1:7">
      <c r="A32" s="11" t="s">
        <v>182</v>
      </c>
      <c r="B32" s="3" t="s">
        <v>82</v>
      </c>
      <c r="C32" s="12" t="s">
        <v>183</v>
      </c>
      <c r="D32" s="10" t="s">
        <v>184</v>
      </c>
      <c r="E32" s="6" t="s">
        <v>185</v>
      </c>
      <c r="F32" s="1" t="s">
        <v>186</v>
      </c>
      <c r="G32" s="2" t="str">
        <f>_xlfn.DISPIMG("ID_427C24875A2B4472AB9EE1BB9DBE1A45",1)</f>
        <v>=DISPIMG("ID_427C24875A2B4472AB9EE1BB9DBE1A45",1)</v>
      </c>
    </row>
    <row r="33" ht="66.15" spans="1:7">
      <c r="A33" s="11"/>
      <c r="B33" s="3"/>
      <c r="C33" s="12" t="s">
        <v>187</v>
      </c>
      <c r="D33" s="10"/>
      <c r="E33" s="6" t="s">
        <v>188</v>
      </c>
      <c r="F33" s="1" t="s">
        <v>189</v>
      </c>
      <c r="G33" s="2" t="str">
        <f>_xlfn.DISPIMG("ID_49CD3CD1C27142CEA9CDAC61491A2496",1)</f>
        <v>=DISPIMG("ID_49CD3CD1C27142CEA9CDAC61491A2496",1)</v>
      </c>
    </row>
    <row r="34" ht="75" spans="1:7">
      <c r="A34" s="11"/>
      <c r="B34" s="3"/>
      <c r="C34" s="12" t="s">
        <v>190</v>
      </c>
      <c r="D34" s="10"/>
      <c r="E34" s="6" t="s">
        <v>191</v>
      </c>
      <c r="F34" s="1" t="s">
        <v>192</v>
      </c>
      <c r="G34" s="2" t="str">
        <f>_xlfn.DISPIMG("ID_66897A690F3346FAACDACCBF4775EAA7",1)</f>
        <v>=DISPIMG("ID_66897A690F3346FAACDACCBF4775EAA7",1)</v>
      </c>
    </row>
    <row r="35" ht="75" spans="1:7">
      <c r="A35" s="11"/>
      <c r="B35" s="3" t="s">
        <v>96</v>
      </c>
      <c r="C35" s="8" t="s">
        <v>193</v>
      </c>
      <c r="D35" s="10"/>
      <c r="E35" s="6" t="s">
        <v>194</v>
      </c>
      <c r="F35" s="1" t="s">
        <v>195</v>
      </c>
      <c r="G35" s="2" t="str">
        <f>_xlfn.DISPIMG("ID_2D5A43406DD24BBB80A993945D3453A5",1)</f>
        <v>=DISPIMG("ID_2D5A43406DD24BBB80A993945D3453A5",1)</v>
      </c>
    </row>
    <row r="36" ht="71.15" spans="1:7">
      <c r="A36" s="11"/>
      <c r="B36" s="3"/>
      <c r="C36" s="8" t="s">
        <v>196</v>
      </c>
      <c r="D36" s="10"/>
      <c r="E36" s="6" t="s">
        <v>197</v>
      </c>
      <c r="F36" s="1" t="s">
        <v>198</v>
      </c>
      <c r="G36" s="2" t="str">
        <f>_xlfn.DISPIMG("ID_E1A89C6F30FC4314B91B969F19C5CBCC",1)</f>
        <v>=DISPIMG("ID_E1A89C6F30FC4314B91B969F19C5CBCC",1)</v>
      </c>
    </row>
    <row r="37" ht="94.5" spans="1:7">
      <c r="A37" s="11"/>
      <c r="B37" s="3" t="s">
        <v>106</v>
      </c>
      <c r="C37" s="8" t="s">
        <v>199</v>
      </c>
      <c r="D37" s="10"/>
      <c r="E37" s="6" t="s">
        <v>200</v>
      </c>
      <c r="F37" s="1" t="s">
        <v>201</v>
      </c>
      <c r="G37" s="2" t="str">
        <f>_xlfn.DISPIMG("ID_0C35370FD37741E683602AE5FB9B8A2C",1)</f>
        <v>=DISPIMG("ID_0C35370FD37741E683602AE5FB9B8A2C",1)</v>
      </c>
    </row>
    <row r="38" ht="94.5" spans="1:7">
      <c r="A38" s="11"/>
      <c r="B38" s="3" t="s">
        <v>113</v>
      </c>
      <c r="C38" s="13" t="s">
        <v>202</v>
      </c>
      <c r="D38" s="10"/>
      <c r="E38" s="6" t="s">
        <v>203</v>
      </c>
      <c r="F38" s="1" t="s">
        <v>204</v>
      </c>
      <c r="G38" s="2" t="str">
        <f>_xlfn.DISPIMG("ID_4870B7EA47A24C63A203F566CD589C3B",1)</f>
        <v>=DISPIMG("ID_4870B7EA47A24C63A203F566CD589C3B",1)</v>
      </c>
    </row>
    <row r="39" ht="135" spans="1:7">
      <c r="A39" s="11"/>
      <c r="B39" s="3" t="s">
        <v>117</v>
      </c>
      <c r="C39" s="8" t="s">
        <v>205</v>
      </c>
      <c r="D39" s="10"/>
      <c r="E39" s="6" t="s">
        <v>206</v>
      </c>
      <c r="F39" s="1" t="s">
        <v>207</v>
      </c>
      <c r="G39" s="2" t="str">
        <f>_xlfn.DISPIMG("ID_C8183BC42501407BA37DB2E19BC32CF7",1)</f>
        <v>=DISPIMG("ID_C8183BC42501407BA37DB2E19BC32CF7",1)</v>
      </c>
    </row>
  </sheetData>
  <mergeCells count="19">
    <mergeCell ref="A2:A12"/>
    <mergeCell ref="A13:A22"/>
    <mergeCell ref="A23:A31"/>
    <mergeCell ref="A32:A39"/>
    <mergeCell ref="B2:B5"/>
    <mergeCell ref="B6:B8"/>
    <mergeCell ref="B9:B10"/>
    <mergeCell ref="B13:B15"/>
    <mergeCell ref="B16:B18"/>
    <mergeCell ref="B19:B20"/>
    <mergeCell ref="B23:B25"/>
    <mergeCell ref="B26:B27"/>
    <mergeCell ref="B28:B29"/>
    <mergeCell ref="B32:B34"/>
    <mergeCell ref="B35:B36"/>
    <mergeCell ref="D2:D12"/>
    <mergeCell ref="D13:D22"/>
    <mergeCell ref="D23:D31"/>
    <mergeCell ref="D32:D3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基础材料道具</vt:lpstr>
      <vt:lpstr>基因卡池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小黄~</cp:lastModifiedBy>
  <dcterms:created xsi:type="dcterms:W3CDTF">2023-05-12T11:15:00Z</dcterms:created>
  <dcterms:modified xsi:type="dcterms:W3CDTF">2026-06-03T11:23:10Z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6DC293E3230449C69476E613223AB879_12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